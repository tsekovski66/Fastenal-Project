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a5a77597654a5b/Desktop/"/>
    </mc:Choice>
  </mc:AlternateContent>
  <xr:revisionPtr revIDLastSave="5" documentId="8_{ABE302E6-E49B-4F3C-AB55-CCB424416520}" xr6:coauthVersionLast="47" xr6:coauthVersionMax="47" xr10:uidLastSave="{D063B263-7464-45FA-AF6B-5EFF50BAE9B5}"/>
  <bookViews>
    <workbookView xWindow="-108" yWindow="-108" windowWidth="23256" windowHeight="12576" xr2:uid="{35E9C767-62BC-4BFF-AE3F-C66A23DC89CF}"/>
  </bookViews>
  <sheets>
    <sheet name="DCF Analysis" sheetId="1" r:id="rId1"/>
    <sheet name="Risk &amp; Credit" sheetId="2" r:id="rId2"/>
    <sheet name="Bottom-up Revenu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G15" i="1"/>
  <c r="G12" i="1"/>
  <c r="J11" i="1"/>
  <c r="H11" i="1"/>
  <c r="I11" i="1"/>
  <c r="K11" i="1"/>
  <c r="H10" i="1"/>
  <c r="I10" i="1"/>
  <c r="J10" i="1"/>
  <c r="K10" i="1"/>
  <c r="G10" i="1"/>
  <c r="F10" i="1"/>
  <c r="G11" i="1" s="1"/>
  <c r="F11" i="3"/>
  <c r="G11" i="3"/>
  <c r="H11" i="3" s="1"/>
  <c r="I11" i="3" s="1"/>
  <c r="J11" i="3" s="1"/>
  <c r="E11" i="3"/>
  <c r="D5" i="3"/>
  <c r="E5" i="3" s="1"/>
  <c r="F5" i="3" s="1"/>
  <c r="G5" i="3" s="1"/>
  <c r="H5" i="3" s="1"/>
  <c r="I5" i="3" s="1"/>
  <c r="J5" i="3" s="1"/>
  <c r="D3" i="3"/>
  <c r="D9" i="3" s="1"/>
  <c r="C12" i="3"/>
  <c r="B12" i="3"/>
  <c r="D6" i="3"/>
  <c r="E6" i="3" s="1"/>
  <c r="F6" i="3" s="1"/>
  <c r="G6" i="3" s="1"/>
  <c r="C10" i="3"/>
  <c r="B10" i="3"/>
  <c r="C9" i="3"/>
  <c r="B9" i="3"/>
  <c r="D4" i="3"/>
  <c r="E4" i="3" s="1"/>
  <c r="F4" i="3" s="1"/>
  <c r="G4" i="3" s="1"/>
  <c r="H4" i="3" s="1"/>
  <c r="I4" i="3" s="1"/>
  <c r="J4" i="3" s="1"/>
  <c r="F23" i="1"/>
  <c r="F22" i="1"/>
  <c r="C21" i="1"/>
  <c r="D21" i="1"/>
  <c r="C27" i="1"/>
  <c r="D27" i="1"/>
  <c r="B27" i="1"/>
  <c r="B29" i="1" s="1"/>
  <c r="C28" i="1"/>
  <c r="D28" i="1"/>
  <c r="B28" i="1"/>
  <c r="B26" i="1"/>
  <c r="C22" i="1"/>
  <c r="D29" i="1"/>
  <c r="D23" i="1"/>
  <c r="C23" i="1"/>
  <c r="D22" i="1"/>
  <c r="D26" i="1" s="1"/>
  <c r="I24" i="1"/>
  <c r="G24" i="1"/>
  <c r="K24" i="1" s="1"/>
  <c r="F24" i="1"/>
  <c r="J24" i="1" s="1"/>
  <c r="C24" i="1"/>
  <c r="C25" i="1"/>
  <c r="D25" i="1"/>
  <c r="B25" i="1"/>
  <c r="A54" i="1"/>
  <c r="L41" i="1"/>
  <c r="H33" i="1"/>
  <c r="I33" i="1"/>
  <c r="J33" i="1"/>
  <c r="K33" i="1"/>
  <c r="B45" i="1" s="1"/>
  <c r="G33" i="1"/>
  <c r="E15" i="1"/>
  <c r="E12" i="1"/>
  <c r="E10" i="1"/>
  <c r="C19" i="1"/>
  <c r="D19" i="1"/>
  <c r="B19" i="1"/>
  <c r="C18" i="1"/>
  <c r="D18" i="1"/>
  <c r="B18" i="1"/>
  <c r="C16" i="1"/>
  <c r="D16" i="1"/>
  <c r="B16" i="1"/>
  <c r="C13" i="1"/>
  <c r="D13" i="1"/>
  <c r="B13" i="1"/>
  <c r="D11" i="1"/>
  <c r="C11" i="1"/>
  <c r="F15" i="1" l="1"/>
  <c r="L10" i="1"/>
  <c r="F11" i="1"/>
  <c r="E3" i="3"/>
  <c r="D10" i="3"/>
  <c r="D12" i="3" s="1"/>
  <c r="E10" i="3"/>
  <c r="H6" i="3"/>
  <c r="F26" i="1"/>
  <c r="D24" i="1"/>
  <c r="F25" i="1"/>
  <c r="F27" i="1" s="1"/>
  <c r="B30" i="1"/>
  <c r="F14" i="1"/>
  <c r="F19" i="1" s="1"/>
  <c r="E18" i="1"/>
  <c r="D30" i="1"/>
  <c r="F17" i="1" l="1"/>
  <c r="F18" i="1" s="1"/>
  <c r="F12" i="1"/>
  <c r="F3" i="2"/>
  <c r="F4" i="2" s="1"/>
  <c r="E9" i="3"/>
  <c r="E12" i="3" s="1"/>
  <c r="F3" i="3"/>
  <c r="F10" i="3"/>
  <c r="I6" i="3"/>
  <c r="F28" i="1"/>
  <c r="F29" i="1" s="1"/>
  <c r="F21" i="1" s="1"/>
  <c r="F30" i="1" s="1"/>
  <c r="H24" i="1"/>
  <c r="G20" i="1"/>
  <c r="G26" i="1"/>
  <c r="G25" i="1"/>
  <c r="G17" i="1"/>
  <c r="G18" i="1" s="1"/>
  <c r="G14" i="1"/>
  <c r="G19" i="1" s="1"/>
  <c r="F13" i="1" l="1"/>
  <c r="F12" i="3"/>
  <c r="G3" i="3"/>
  <c r="F9" i="3"/>
  <c r="G10" i="3"/>
  <c r="J6" i="3"/>
  <c r="G13" i="1"/>
  <c r="G28" i="1"/>
  <c r="G27" i="1"/>
  <c r="H25" i="1"/>
  <c r="H26" i="1"/>
  <c r="H14" i="1"/>
  <c r="H19" i="1" s="1"/>
  <c r="H15" i="1"/>
  <c r="H20" i="1"/>
  <c r="G12" i="3" l="1"/>
  <c r="H3" i="3"/>
  <c r="G9" i="3"/>
  <c r="H10" i="3"/>
  <c r="H12" i="1"/>
  <c r="H13" i="1" s="1"/>
  <c r="G29" i="1"/>
  <c r="G21" i="1" s="1"/>
  <c r="G30" i="1" s="1"/>
  <c r="G34" i="1" s="1"/>
  <c r="H27" i="1"/>
  <c r="H28" i="1"/>
  <c r="I26" i="1"/>
  <c r="I25" i="1"/>
  <c r="H17" i="1"/>
  <c r="H18" i="1" s="1"/>
  <c r="I20" i="1"/>
  <c r="I14" i="1"/>
  <c r="I19" i="1" s="1"/>
  <c r="I15" i="1"/>
  <c r="H12" i="3" l="1"/>
  <c r="I3" i="3"/>
  <c r="H9" i="3"/>
  <c r="J10" i="3"/>
  <c r="I10" i="3"/>
  <c r="I17" i="1"/>
  <c r="I18" i="1" s="1"/>
  <c r="I12" i="1"/>
  <c r="I13" i="1" s="1"/>
  <c r="H29" i="1"/>
  <c r="H21" i="1" s="1"/>
  <c r="H30" i="1" s="1"/>
  <c r="H34" i="1" s="1"/>
  <c r="I27" i="1"/>
  <c r="I28" i="1"/>
  <c r="J26" i="1"/>
  <c r="J25" i="1"/>
  <c r="J14" i="1"/>
  <c r="J19" i="1" s="1"/>
  <c r="J20" i="1"/>
  <c r="J15" i="1"/>
  <c r="I12" i="3" l="1"/>
  <c r="J12" i="3"/>
  <c r="J3" i="3"/>
  <c r="J9" i="3" s="1"/>
  <c r="I9" i="3"/>
  <c r="J17" i="1"/>
  <c r="J18" i="1" s="1"/>
  <c r="J12" i="1"/>
  <c r="J13" i="1" s="1"/>
  <c r="I29" i="1"/>
  <c r="I21" i="1" s="1"/>
  <c r="I30" i="1" s="1"/>
  <c r="I34" i="1" s="1"/>
  <c r="J27" i="1"/>
  <c r="J28" i="1"/>
  <c r="K25" i="1"/>
  <c r="K26" i="1"/>
  <c r="K15" i="1"/>
  <c r="K14" i="1"/>
  <c r="K19" i="1" s="1"/>
  <c r="K20" i="1"/>
  <c r="K12" i="1" l="1"/>
  <c r="K13" i="1" s="1"/>
  <c r="J29" i="1"/>
  <c r="J21" i="1" s="1"/>
  <c r="J30" i="1" s="1"/>
  <c r="J34" i="1" s="1"/>
  <c r="K28" i="1"/>
  <c r="K27" i="1"/>
  <c r="L15" i="1"/>
  <c r="K17" i="1"/>
  <c r="K18" i="1" s="1"/>
  <c r="B41" i="1" l="1"/>
  <c r="L42" i="1" s="1"/>
  <c r="B42" i="1"/>
  <c r="B44" i="1" s="1"/>
  <c r="B46" i="1" s="1"/>
  <c r="L12" i="1"/>
  <c r="K29" i="1"/>
  <c r="K21" i="1" s="1"/>
  <c r="K30" i="1" s="1"/>
  <c r="K34" i="1" s="1"/>
  <c r="L18" i="1"/>
  <c r="B40" i="1" l="1"/>
  <c r="B48" i="1" s="1"/>
  <c r="F40" i="1" s="1"/>
  <c r="L40" i="1"/>
  <c r="L43" i="1" s="1"/>
  <c r="I54" i="1" s="1"/>
  <c r="L47" i="1" l="1"/>
  <c r="L49" i="1" s="1"/>
  <c r="F45" i="1"/>
  <c r="F47" i="1" s="1"/>
  <c r="B47" i="1"/>
  <c r="C26" i="1"/>
  <c r="C29" i="1" s="1"/>
  <c r="C30" i="1" l="1"/>
</calcChain>
</file>

<file path=xl/sharedStrings.xml><?xml version="1.0" encoding="utf-8"?>
<sst xmlns="http://schemas.openxmlformats.org/spreadsheetml/2006/main" count="106" uniqueCount="86">
  <si>
    <t>Discounted Cash Flow Analysis</t>
  </si>
  <si>
    <t>1. Main Unlevered Free Cash Flow Build</t>
  </si>
  <si>
    <t>Line Item</t>
  </si>
  <si>
    <t>Sales</t>
  </si>
  <si>
    <t>% growth</t>
  </si>
  <si>
    <t>EBITDA</t>
  </si>
  <si>
    <t>% margin</t>
  </si>
  <si>
    <t>Depreciation &amp; Amortization</t>
  </si>
  <si>
    <t>EBIT</t>
  </si>
  <si>
    <t>Taxes</t>
  </si>
  <si>
    <t>EBIAT</t>
  </si>
  <si>
    <t>Plus: Depreciation &amp; Amortization</t>
  </si>
  <si>
    <t>Less: Capital Expenditures</t>
  </si>
  <si>
    <t>Less: Increase in Net Working Capital</t>
  </si>
  <si>
    <t>Unlevered Free Cash Flow</t>
  </si>
  <si>
    <t>WACC</t>
  </si>
  <si>
    <t>Discount Period</t>
  </si>
  <si>
    <t>Discount Factor</t>
  </si>
  <si>
    <t>Present Value of Free Cash Flow</t>
  </si>
  <si>
    <t>Enterprise Value</t>
  </si>
  <si>
    <t>Value</t>
  </si>
  <si>
    <t>Cumulative Present Value of FCF</t>
  </si>
  <si>
    <t>Terminal Value</t>
  </si>
  <si>
    <t>Exit Multiple</t>
  </si>
  <si>
    <t>Present Value of Terminal Value</t>
  </si>
  <si>
    <t>% of Enterprise Value</t>
  </si>
  <si>
    <t>Implied Equity Value and Share Price</t>
  </si>
  <si>
    <t>Less: Total Debt</t>
  </si>
  <si>
    <t>Less: Preferred Securities</t>
  </si>
  <si>
    <t>Less: Noncontrolling Interest</t>
  </si>
  <si>
    <t>Plus: Cash and Cash Equivalents</t>
  </si>
  <si>
    <t>Implied Equity Value</t>
  </si>
  <si>
    <t>Fully Diluted Shares Outstanding</t>
  </si>
  <si>
    <t>Implied Share Price</t>
  </si>
  <si>
    <t>Implied Perpetuity Growth Rate</t>
  </si>
  <si>
    <t>Implied EV/EBITDA</t>
  </si>
  <si>
    <t>Enterprise Value (WACC vs. Exit Multiple)</t>
  </si>
  <si>
    <t>WACC \ Exit Multiple</t>
  </si>
  <si>
    <t>Implied Perpetuity Growth Rate (WACC vs. Exit Multiple)</t>
  </si>
  <si>
    <t>($ in millions, except per share data, fiscal year ending March 31)</t>
  </si>
  <si>
    <t>CAGR ('23-'25)</t>
  </si>
  <si>
    <t>CAGR ('27-'31)</t>
  </si>
  <si>
    <t>Terminal Year EBITDA ('31)</t>
  </si>
  <si>
    <t>Terminal Year Free Cash Flow ('31)</t>
  </si>
  <si>
    <t>LTM EBITDA</t>
  </si>
  <si>
    <t xml:space="preserve">WACC \ Exit Multiple </t>
  </si>
  <si>
    <t>Fastenal Company (FAST)</t>
  </si>
  <si>
    <t>Base</t>
  </si>
  <si>
    <t>Stress</t>
  </si>
  <si>
    <t>Scenario:</t>
  </si>
  <si>
    <t>Revenue GR</t>
  </si>
  <si>
    <t>EBIT margin</t>
  </si>
  <si>
    <t>DSO</t>
  </si>
  <si>
    <t>DIO</t>
  </si>
  <si>
    <t>Days Sales Oustanding (DSO)</t>
  </si>
  <si>
    <t>Days Inventory Outstanding (DIO)</t>
  </si>
  <si>
    <t>Days Payable Outstanding (DPO)</t>
  </si>
  <si>
    <t>COGS (% Sales)</t>
  </si>
  <si>
    <t>Accounts receivable</t>
  </si>
  <si>
    <t>Accounts Payable</t>
  </si>
  <si>
    <t xml:space="preserve">Inventory </t>
  </si>
  <si>
    <t>Total NWC</t>
  </si>
  <si>
    <t>Credit Metrics</t>
  </si>
  <si>
    <t>Interest expense</t>
  </si>
  <si>
    <t>Stressed EBIDTA</t>
  </si>
  <si>
    <t>Interest Coverage Ratio</t>
  </si>
  <si>
    <t>Operational KPIs</t>
  </si>
  <si>
    <t>2024 (Actual)</t>
  </si>
  <si>
    <t>Public Branches</t>
  </si>
  <si>
    <t>Revenue per branch ($M)</t>
  </si>
  <si>
    <t xml:space="preserve">Onsite locations </t>
  </si>
  <si>
    <t>Revenue per onsite ($M)</t>
  </si>
  <si>
    <t>2023 (Actual)</t>
  </si>
  <si>
    <t>*company stopped reporting numbers beginning of 2025</t>
  </si>
  <si>
    <t>2025E</t>
  </si>
  <si>
    <t>2026E</t>
  </si>
  <si>
    <t>2027E</t>
  </si>
  <si>
    <t>2028E</t>
  </si>
  <si>
    <t>2029E</t>
  </si>
  <si>
    <t>2030E</t>
  </si>
  <si>
    <t>2031E</t>
  </si>
  <si>
    <t>Total Branch Revenue</t>
  </si>
  <si>
    <t>Total Onsite Revenue</t>
  </si>
  <si>
    <t>Consolidated Net Sales</t>
  </si>
  <si>
    <t>*reported target of 400 opened onsite locations per year, projected 300 on average</t>
  </si>
  <si>
    <t>Other/Specialty revnue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</si>
</sst>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%"/>
    <numFmt numFmtId="165" formatCode="#,##0.0"/>
    <numFmt numFmtId="166" formatCode="0.0"/>
    <numFmt numFmtId="167" formatCode="0.0000"/>
    <numFmt numFmtId="169" formatCode="_(&quot;$&quot;* #,##0.0_);_(&quot;$&quot;* \(#,##0.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vertAlign val="superscript"/>
      <sz val="10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sz val="13.5"/>
      <color theme="1"/>
      <name val="Arial"/>
      <family val="2"/>
      <charset val="204"/>
    </font>
    <font>
      <b/>
      <sz val="11"/>
      <color theme="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thick">
        <color rgb="FFC4C7C5"/>
      </top>
      <bottom/>
      <diagonal/>
    </border>
    <border>
      <left/>
      <right/>
      <top style="thick">
        <color rgb="FFC4C7C5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9" fontId="5" fillId="0" borderId="1" xfId="0" applyNumberFormat="1" applyFont="1" applyBorder="1" applyAlignment="1">
      <alignment horizontal="left" vertical="center" wrapText="1" indent="1"/>
    </xf>
    <xf numFmtId="10" fontId="5" fillId="0" borderId="1" xfId="0" applyNumberFormat="1" applyFont="1" applyBorder="1" applyAlignment="1">
      <alignment horizontal="left" vertical="center" wrapText="1" indent="1"/>
    </xf>
    <xf numFmtId="166" fontId="7" fillId="2" borderId="1" xfId="0" applyNumberFormat="1" applyFont="1" applyFill="1" applyBorder="1" applyAlignment="1">
      <alignment horizontal="left" vertical="center" wrapText="1" indent="1"/>
    </xf>
    <xf numFmtId="164" fontId="0" fillId="0" borderId="0" xfId="0" applyNumberFormat="1"/>
    <xf numFmtId="164" fontId="7" fillId="0" borderId="1" xfId="0" applyNumberFormat="1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0" fillId="0" borderId="6" xfId="0" applyBorder="1"/>
    <xf numFmtId="0" fontId="3" fillId="0" borderId="1" xfId="0" applyFont="1" applyBorder="1" applyAlignment="1">
      <alignment horizontal="right" vertical="center" wrapText="1" indent="1"/>
    </xf>
    <xf numFmtId="2" fontId="2" fillId="0" borderId="1" xfId="2" applyNumberFormat="1" applyFont="1" applyBorder="1" applyAlignment="1">
      <alignment horizontal="right" vertical="center" wrapText="1" indent="1"/>
    </xf>
    <xf numFmtId="164" fontId="5" fillId="0" borderId="1" xfId="1" applyNumberFormat="1" applyFont="1" applyBorder="1" applyAlignment="1">
      <alignment horizontal="right" vertical="center" wrapText="1" indent="1"/>
    </xf>
    <xf numFmtId="165" fontId="2" fillId="0" borderId="1" xfId="0" applyNumberFormat="1" applyFont="1" applyBorder="1" applyAlignment="1">
      <alignment horizontal="right" vertical="center" wrapText="1" indent="1"/>
    </xf>
    <xf numFmtId="166" fontId="2" fillId="0" borderId="1" xfId="0" applyNumberFormat="1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9" fontId="5" fillId="0" borderId="1" xfId="1" applyFont="1" applyBorder="1" applyAlignment="1">
      <alignment horizontal="right" vertical="center" wrapText="1" indent="1"/>
    </xf>
    <xf numFmtId="164" fontId="5" fillId="0" borderId="1" xfId="0" applyNumberFormat="1" applyFont="1" applyBorder="1" applyAlignment="1">
      <alignment horizontal="right" vertical="center" wrapText="1" indent="1"/>
    </xf>
    <xf numFmtId="164" fontId="2" fillId="0" borderId="1" xfId="0" applyNumberFormat="1" applyFont="1" applyBorder="1" applyAlignment="1">
      <alignment horizontal="right" vertical="center" wrapText="1" indent="1"/>
    </xf>
    <xf numFmtId="9" fontId="5" fillId="0" borderId="1" xfId="0" applyNumberFormat="1" applyFont="1" applyBorder="1" applyAlignment="1">
      <alignment horizontal="right" vertical="center" wrapText="1" indent="1"/>
    </xf>
    <xf numFmtId="0" fontId="2" fillId="0" borderId="4" xfId="0" applyFont="1" applyBorder="1" applyAlignment="1">
      <alignment horizontal="right" vertical="center" wrapText="1" indent="1"/>
    </xf>
    <xf numFmtId="167" fontId="2" fillId="0" borderId="4" xfId="0" applyNumberFormat="1" applyFont="1" applyBorder="1" applyAlignment="1">
      <alignment horizontal="right" vertical="center" wrapText="1" indent="1"/>
    </xf>
    <xf numFmtId="0" fontId="2" fillId="0" borderId="6" xfId="0" applyFont="1" applyBorder="1" applyAlignment="1">
      <alignment horizontal="right"/>
    </xf>
    <xf numFmtId="2" fontId="3" fillId="0" borderId="6" xfId="0" applyNumberFormat="1" applyFont="1" applyBorder="1" applyAlignment="1">
      <alignment horizontal="right"/>
    </xf>
    <xf numFmtId="2" fontId="2" fillId="0" borderId="0" xfId="2" applyNumberFormat="1" applyFont="1" applyAlignment="1">
      <alignment horizontal="right"/>
    </xf>
    <xf numFmtId="2" fontId="2" fillId="0" borderId="1" xfId="0" applyNumberFormat="1" applyFont="1" applyBorder="1" applyAlignment="1">
      <alignment horizontal="right" vertical="center" wrapText="1" indent="1"/>
    </xf>
    <xf numFmtId="166" fontId="3" fillId="0" borderId="1" xfId="0" applyNumberFormat="1" applyFont="1" applyBorder="1" applyAlignment="1">
      <alignment horizontal="right" vertical="center" wrapText="1" indent="1"/>
    </xf>
    <xf numFmtId="0" fontId="5" fillId="0" borderId="1" xfId="0" applyFont="1" applyBorder="1" applyAlignment="1">
      <alignment horizontal="right" vertical="center" wrapText="1" indent="1"/>
    </xf>
    <xf numFmtId="167" fontId="2" fillId="0" borderId="1" xfId="0" applyNumberFormat="1" applyFont="1" applyBorder="1" applyAlignment="1">
      <alignment horizontal="right" vertical="center" wrapText="1" indent="1"/>
    </xf>
    <xf numFmtId="165" fontId="3" fillId="0" borderId="1" xfId="0" applyNumberFormat="1" applyFont="1" applyBorder="1" applyAlignment="1">
      <alignment horizontal="right" vertical="center" wrapText="1" indent="1"/>
    </xf>
    <xf numFmtId="2" fontId="3" fillId="0" borderId="1" xfId="0" applyNumberFormat="1" applyFont="1" applyBorder="1" applyAlignment="1">
      <alignment horizontal="right" vertical="center" wrapText="1" indent="1"/>
    </xf>
    <xf numFmtId="9" fontId="2" fillId="0" borderId="1" xfId="0" applyNumberFormat="1" applyFont="1" applyBorder="1" applyAlignment="1">
      <alignment horizontal="right" vertical="center" wrapText="1" indent="1"/>
    </xf>
    <xf numFmtId="164" fontId="3" fillId="0" borderId="1" xfId="1" applyNumberFormat="1" applyFont="1" applyBorder="1" applyAlignment="1">
      <alignment horizontal="right" vertical="center" wrapText="1" indent="1"/>
    </xf>
    <xf numFmtId="4" fontId="2" fillId="0" borderId="1" xfId="0" applyNumberFormat="1" applyFont="1" applyBorder="1" applyAlignment="1">
      <alignment horizontal="right" vertical="center" wrapText="1" indent="1"/>
    </xf>
    <xf numFmtId="2" fontId="3" fillId="0" borderId="1" xfId="1" applyNumberFormat="1" applyFont="1" applyBorder="1" applyAlignment="1">
      <alignment horizontal="right" vertical="center" wrapText="1" indent="1"/>
    </xf>
    <xf numFmtId="164" fontId="2" fillId="0" borderId="1" xfId="1" applyNumberFormat="1" applyFont="1" applyBorder="1" applyAlignment="1">
      <alignment horizontal="right" vertical="center" wrapText="1" indent="1"/>
    </xf>
    <xf numFmtId="166" fontId="3" fillId="0" borderId="2" xfId="0" applyNumberFormat="1" applyFont="1" applyBorder="1" applyAlignment="1">
      <alignment horizontal="right" vertical="center" wrapText="1" indent="1"/>
    </xf>
    <xf numFmtId="166" fontId="2" fillId="0" borderId="3" xfId="0" applyNumberFormat="1" applyFont="1" applyBorder="1" applyAlignment="1">
      <alignment horizontal="right" vertical="center" wrapText="1" indent="1"/>
    </xf>
    <xf numFmtId="0" fontId="9" fillId="0" borderId="0" xfId="0" applyFont="1"/>
    <xf numFmtId="10" fontId="0" fillId="0" borderId="0" xfId="0" applyNumberFormat="1"/>
    <xf numFmtId="2" fontId="2" fillId="0" borderId="1" xfId="1" applyNumberFormat="1" applyFont="1" applyBorder="1" applyAlignment="1">
      <alignment horizontal="right" vertical="center" wrapText="1" indent="1"/>
    </xf>
    <xf numFmtId="2" fontId="0" fillId="0" borderId="0" xfId="0" applyNumberFormat="1"/>
    <xf numFmtId="0" fontId="8" fillId="0" borderId="0" xfId="0" applyFont="1"/>
    <xf numFmtId="44" fontId="0" fillId="0" borderId="0" xfId="2" applyFont="1"/>
    <xf numFmtId="3" fontId="0" fillId="0" borderId="0" xfId="0" applyNumberFormat="1"/>
    <xf numFmtId="44" fontId="0" fillId="0" borderId="0" xfId="2" applyFont="1" applyAlignment="1">
      <alignment horizontal="right"/>
    </xf>
    <xf numFmtId="0" fontId="0" fillId="0" borderId="0" xfId="0" applyAlignment="1">
      <alignment horizontal="right"/>
    </xf>
    <xf numFmtId="44" fontId="0" fillId="0" borderId="0" xfId="0" applyNumberFormat="1"/>
    <xf numFmtId="44" fontId="0" fillId="0" borderId="0" xfId="0" applyNumberFormat="1" applyAlignment="1">
      <alignment horizontal="right"/>
    </xf>
    <xf numFmtId="0" fontId="0" fillId="0" borderId="0" xfId="0" applyAlignment="1"/>
    <xf numFmtId="169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11F6D-E295-4CED-AFF4-392EC6420967}" name="Table1" displayName="Table1" ref="A2:C6" headerRowCount="0" totalsRowShown="0">
  <tableColumns count="3">
    <tableColumn id="1" xr3:uid="{461CEAB5-03C0-453B-ABBF-F0A45D4B689B}" name="Column1"/>
    <tableColumn id="2" xr3:uid="{042A1B1D-8BE2-418D-8A23-59D36183235E}" name="Column2"/>
    <tableColumn id="3" xr3:uid="{EB27AEC6-19DA-4EB5-A8BC-5043CE44DC9E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7E052C-77E6-4F1B-AB3F-B853E3CD2573}" name="Table2" displayName="Table2" ref="E2:F5" headerRowCount="0" totalsRowShown="0">
  <tableColumns count="2">
    <tableColumn id="1" xr3:uid="{8E1324F1-E932-4504-A3FC-A8B318ECBB1D}" name="Column1"/>
    <tableColumn id="2" xr3:uid="{B9A6A491-46F1-44D0-BAB0-4B89535F3A17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1B30F7-0063-43B3-ACC8-50A1BD3AF7D3}" name="Table4" displayName="Table4" ref="A2:J8" headerRowCount="0" totalsRowShown="0">
  <tableColumns count="10">
    <tableColumn id="1" xr3:uid="{80F85694-7206-4971-A20F-22887FA7C9E3}" name="Column1"/>
    <tableColumn id="2" xr3:uid="{D472BBF2-CD3B-4E02-8391-1BE93B4E8F60}" name="Column2"/>
    <tableColumn id="3" xr3:uid="{20C20108-AF2B-4E41-BCE1-37321CD706E9}" name="Column3"/>
    <tableColumn id="4" xr3:uid="{C9F1026E-6F10-4973-B027-9E52D16B089D}" name="Column4"/>
    <tableColumn id="5" xr3:uid="{E5F98093-FA24-4E21-95C2-67ACCF425289}" name="Column5"/>
    <tableColumn id="6" xr3:uid="{C5406C1D-3219-4639-88EB-E448872192B1}" name="Column6"/>
    <tableColumn id="7" xr3:uid="{A41997A2-0DE0-4690-85D4-C9DE1EB5248F}" name="Column7"/>
    <tableColumn id="8" xr3:uid="{97EAAFD3-FF4B-4755-A71C-3348171A2568}" name="Column8"/>
    <tableColumn id="9" xr3:uid="{4188F9FC-5973-4696-8DEC-0D22FBBA41E4}" name="Column9"/>
    <tableColumn id="10" xr3:uid="{E594EB09-749D-47B5-967C-3145BC090E6D}" name="Column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D05FBB-83BA-408C-AAE2-0E59F0D76EFF}" name="Table5" displayName="Table5" ref="A9:J12" headerRowCount="0" totalsRowShown="0">
  <tableColumns count="10">
    <tableColumn id="1" xr3:uid="{334FBB1A-BBF6-4356-BDBE-293549A1865B}" name="Column1"/>
    <tableColumn id="2" xr3:uid="{448FFD9D-42AC-4AAC-AB57-5D900CB67C81}" name="Column2" dataDxfId="0">
      <calculatedColumnFormula>$B$5*$B$6</calculatedColumnFormula>
    </tableColumn>
    <tableColumn id="3" xr3:uid="{2101E692-01AC-4AD8-8448-77FB36163772}" name="Column3"/>
    <tableColumn id="4" xr3:uid="{54BC329E-9F17-4E79-BF78-BA0AF25A3215}" name="Column4"/>
    <tableColumn id="5" xr3:uid="{072D134D-9052-49AE-9C04-A4804B54F938}" name="Column5"/>
    <tableColumn id="6" xr3:uid="{9A965B5A-65FD-4EC5-9B3A-4EAD550976D0}" name="Column6"/>
    <tableColumn id="7" xr3:uid="{0188F43B-3CB7-47B8-91E3-CF4D0CCB4A7C}" name="Column7"/>
    <tableColumn id="8" xr3:uid="{7D3C03FD-BA96-43C5-9A2B-2AAAF3152607}" name="Column8"/>
    <tableColumn id="9" xr3:uid="{15366F91-3A20-4C93-A28F-891899DB7104}" name="Column9"/>
    <tableColumn id="10" xr3:uid="{FCA2EF07-7343-46B0-8515-32FF63411203}" name="Column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A9C3-BBB5-4EC3-B3AF-4C1B38E59923}">
  <dimension ref="A1:N59"/>
  <sheetViews>
    <sheetView showGridLines="0" tabSelected="1" topLeftCell="A22" zoomScale="85" zoomScaleNormal="85" workbookViewId="0">
      <selection activeCell="B40" sqref="B40"/>
    </sheetView>
  </sheetViews>
  <sheetFormatPr defaultRowHeight="14.4" x14ac:dyDescent="0.3"/>
  <cols>
    <col min="1" max="1" width="65.44140625" bestFit="1" customWidth="1"/>
    <col min="2" max="3" width="15" bestFit="1" customWidth="1"/>
    <col min="4" max="4" width="12.88671875" bestFit="1" customWidth="1"/>
    <col min="5" max="5" width="37.77734375" bestFit="1" customWidth="1"/>
    <col min="6" max="6" width="18.6640625" bestFit="1" customWidth="1"/>
    <col min="7" max="7" width="14.109375" bestFit="1" customWidth="1"/>
    <col min="8" max="8" width="14.44140625" bestFit="1" customWidth="1"/>
    <col min="9" max="9" width="10.77734375" customWidth="1"/>
    <col min="10" max="10" width="14.44140625" bestFit="1" customWidth="1"/>
    <col min="11" max="11" width="32.33203125" bestFit="1" customWidth="1"/>
    <col min="12" max="12" width="10.88671875" customWidth="1"/>
  </cols>
  <sheetData>
    <row r="1" spans="1:12" x14ac:dyDescent="0.3">
      <c r="A1" s="1" t="s">
        <v>46</v>
      </c>
    </row>
    <row r="3" spans="1:12" x14ac:dyDescent="0.3">
      <c r="A3" s="1" t="s">
        <v>0</v>
      </c>
    </row>
    <row r="5" spans="1:12" x14ac:dyDescent="0.3">
      <c r="A5" s="2" t="s">
        <v>39</v>
      </c>
    </row>
    <row r="7" spans="1:12" ht="17.399999999999999" x14ac:dyDescent="0.3">
      <c r="A7" s="3" t="s">
        <v>1</v>
      </c>
    </row>
    <row r="8" spans="1:12" ht="16.8" thickBot="1" x14ac:dyDescent="0.35">
      <c r="A8" s="4"/>
    </row>
    <row r="9" spans="1:12" ht="28.2" thickBot="1" x14ac:dyDescent="0.35">
      <c r="A9" s="5" t="s">
        <v>2</v>
      </c>
      <c r="B9" s="16">
        <v>2023</v>
      </c>
      <c r="C9" s="16">
        <v>2024</v>
      </c>
      <c r="D9" s="16">
        <v>2025</v>
      </c>
      <c r="E9" s="16" t="s">
        <v>40</v>
      </c>
      <c r="F9" s="16">
        <v>2026</v>
      </c>
      <c r="G9" s="16">
        <v>2027</v>
      </c>
      <c r="H9" s="16">
        <v>2028</v>
      </c>
      <c r="I9" s="16">
        <v>2029</v>
      </c>
      <c r="J9" s="16">
        <v>2030</v>
      </c>
      <c r="K9" s="16">
        <v>2031</v>
      </c>
      <c r="L9" s="16" t="s">
        <v>41</v>
      </c>
    </row>
    <row r="10" spans="1:12" ht="15" thickBot="1" x14ac:dyDescent="0.35">
      <c r="A10" s="5" t="s">
        <v>3</v>
      </c>
      <c r="B10" s="17">
        <v>7346.7</v>
      </c>
      <c r="C10" s="17">
        <v>7546</v>
      </c>
      <c r="D10" s="17">
        <v>8200.5</v>
      </c>
      <c r="E10" s="18">
        <f>(D10/B10)^(1/2)-1</f>
        <v>5.6510976596356066E-2</v>
      </c>
      <c r="F10" s="19">
        <f>IF('Risk &amp; Credit'!$B$1="Base", 'Bottom-up Revenue'!E12, 'DCF Analysis'!D10* (1 + 'Risk &amp; Credit'!$C$3))</f>
        <v>8899.3912160000018</v>
      </c>
      <c r="G10" s="19">
        <f>'Bottom-up Revenue'!F12</f>
        <v>9587.6672514800011</v>
      </c>
      <c r="H10" s="19">
        <f>'Bottom-up Revenue'!G12</f>
        <v>10312.943567994402</v>
      </c>
      <c r="I10" s="19">
        <f>'Bottom-up Revenue'!H12</f>
        <v>11077.192051073334</v>
      </c>
      <c r="J10" s="19">
        <f>'Bottom-up Revenue'!I12</f>
        <v>11882.506730835808</v>
      </c>
      <c r="K10" s="19">
        <f>'Bottom-up Revenue'!J12</f>
        <v>12731.113049139065</v>
      </c>
      <c r="L10" s="18">
        <f>(K10/F10)^(1/2)-1</f>
        <v>0.19606019686051668</v>
      </c>
    </row>
    <row r="11" spans="1:12" ht="15" thickBot="1" x14ac:dyDescent="0.35">
      <c r="A11" s="7" t="s">
        <v>4</v>
      </c>
      <c r="B11" s="21"/>
      <c r="C11" s="18">
        <f>(C10-B10)/C10</f>
        <v>2.6411343758282559E-2</v>
      </c>
      <c r="D11" s="18">
        <f>(D10-C10)/D10</f>
        <v>7.9812206572769953E-2</v>
      </c>
      <c r="E11" s="21"/>
      <c r="F11" s="18">
        <f>(F10-D10)/D10</f>
        <v>8.5225439424425564E-2</v>
      </c>
      <c r="G11" s="22">
        <f>(G10-F10)/F10</f>
        <v>7.7339676251400702E-2</v>
      </c>
      <c r="H11" s="22">
        <f t="shared" ref="H11:K11" si="0">(H10-G10)/G10</f>
        <v>7.5646796816237372E-2</v>
      </c>
      <c r="I11" s="22">
        <f t="shared" si="0"/>
        <v>7.4105756328458117E-2</v>
      </c>
      <c r="J11" s="22">
        <f>(J10-I10)/I10</f>
        <v>7.2700254364953643E-2</v>
      </c>
      <c r="K11" s="22">
        <f t="shared" si="0"/>
        <v>7.1416439100436019E-2</v>
      </c>
      <c r="L11" s="21"/>
    </row>
    <row r="12" spans="1:12" ht="15" thickBot="1" x14ac:dyDescent="0.35">
      <c r="A12" s="5" t="s">
        <v>5</v>
      </c>
      <c r="B12" s="19">
        <v>1706</v>
      </c>
      <c r="C12" s="19">
        <v>1685.4</v>
      </c>
      <c r="D12" s="19">
        <v>1834.9</v>
      </c>
      <c r="E12" s="18">
        <f>(D12/B12)^(1/2)-1</f>
        <v>3.7090573743544297E-2</v>
      </c>
      <c r="F12" s="20">
        <f>F15+F14</f>
        <v>2020.1618060320004</v>
      </c>
      <c r="G12" s="20">
        <f>G15+G14</f>
        <v>2176.40046608596</v>
      </c>
      <c r="H12" s="20">
        <f t="shared" ref="G12:K12" si="1">H15+H14</f>
        <v>2341.038189934729</v>
      </c>
      <c r="I12" s="20">
        <f t="shared" si="1"/>
        <v>2514.5225955936467</v>
      </c>
      <c r="J12" s="20">
        <f t="shared" si="1"/>
        <v>2697.3290278997283</v>
      </c>
      <c r="K12" s="20">
        <f t="shared" si="1"/>
        <v>2889.9626621545676</v>
      </c>
      <c r="L12" s="18">
        <f>(K12/F12)^(1/2)-1</f>
        <v>0.19606019686051668</v>
      </c>
    </row>
    <row r="13" spans="1:12" ht="15" thickBot="1" x14ac:dyDescent="0.35">
      <c r="A13" s="7" t="s">
        <v>6</v>
      </c>
      <c r="B13" s="18">
        <f>B12/B10</f>
        <v>0.23221310248138621</v>
      </c>
      <c r="C13" s="18">
        <f t="shared" ref="C13:D13" si="2">C12/C10</f>
        <v>0.22335011926848664</v>
      </c>
      <c r="D13" s="18">
        <f t="shared" si="2"/>
        <v>0.22375464910676179</v>
      </c>
      <c r="E13" s="21"/>
      <c r="F13" s="23">
        <f>F12/F10</f>
        <v>0.22700000000000001</v>
      </c>
      <c r="G13" s="23">
        <f t="shared" ref="G13:K13" si="3">G12/G10</f>
        <v>0.22699999999999998</v>
      </c>
      <c r="H13" s="23">
        <f t="shared" si="3"/>
        <v>0.22699999999999998</v>
      </c>
      <c r="I13" s="23">
        <f t="shared" si="3"/>
        <v>0.22699999999999998</v>
      </c>
      <c r="J13" s="23">
        <f t="shared" si="3"/>
        <v>0.22699999999999998</v>
      </c>
      <c r="K13" s="23">
        <f t="shared" si="3"/>
        <v>0.22699999999999998</v>
      </c>
      <c r="L13" s="21"/>
    </row>
    <row r="14" spans="1:12" ht="15" thickBot="1" x14ac:dyDescent="0.35">
      <c r="A14" s="6" t="s">
        <v>7</v>
      </c>
      <c r="B14" s="21">
        <v>177.3</v>
      </c>
      <c r="C14" s="21">
        <v>175.4</v>
      </c>
      <c r="D14" s="21">
        <v>179.2</v>
      </c>
      <c r="E14" s="21"/>
      <c r="F14" s="20">
        <f>2.2%*F10</f>
        <v>195.78660675200007</v>
      </c>
      <c r="G14" s="20">
        <f t="shared" ref="G14:K14" si="4">2.2%*G10</f>
        <v>210.92867953256004</v>
      </c>
      <c r="H14" s="20">
        <f t="shared" si="4"/>
        <v>226.88475849587687</v>
      </c>
      <c r="I14" s="20">
        <f t="shared" si="4"/>
        <v>243.69822512361338</v>
      </c>
      <c r="J14" s="20">
        <f t="shared" si="4"/>
        <v>261.4151480783878</v>
      </c>
      <c r="K14" s="20">
        <f t="shared" si="4"/>
        <v>280.08448708105948</v>
      </c>
      <c r="L14" s="21"/>
    </row>
    <row r="15" spans="1:12" ht="15" thickBot="1" x14ac:dyDescent="0.35">
      <c r="A15" s="5" t="s">
        <v>8</v>
      </c>
      <c r="B15" s="30">
        <v>1528.7</v>
      </c>
      <c r="C15" s="20">
        <v>1510</v>
      </c>
      <c r="D15" s="20">
        <v>1655.7</v>
      </c>
      <c r="E15" s="18">
        <f>(D15/B15)^(1/2)-1</f>
        <v>4.0709913642618334E-2</v>
      </c>
      <c r="F15" s="20">
        <f>F10*F16</f>
        <v>1824.3751992800003</v>
      </c>
      <c r="G15" s="20">
        <f>G10*G16</f>
        <v>1965.4717865534001</v>
      </c>
      <c r="H15" s="20">
        <f t="shared" ref="H15:K15" si="5">H10*H16</f>
        <v>2114.1534314388523</v>
      </c>
      <c r="I15" s="20">
        <f t="shared" si="5"/>
        <v>2270.8243704700335</v>
      </c>
      <c r="J15" s="20">
        <f t="shared" si="5"/>
        <v>2435.9138798213407</v>
      </c>
      <c r="K15" s="20">
        <f t="shared" si="5"/>
        <v>2609.8781750735084</v>
      </c>
      <c r="L15" s="18">
        <f>(K15/F15)^(1/2)-1</f>
        <v>0.1960601968605169</v>
      </c>
    </row>
    <row r="16" spans="1:12" ht="15" thickBot="1" x14ac:dyDescent="0.35">
      <c r="A16" s="7" t="s">
        <v>6</v>
      </c>
      <c r="B16" s="18">
        <f>B15/B10</f>
        <v>0.20807981814964543</v>
      </c>
      <c r="C16" s="18">
        <f t="shared" ref="C16:D16" si="6">C15/C10</f>
        <v>0.20010601643254705</v>
      </c>
      <c r="D16" s="18">
        <f t="shared" si="6"/>
        <v>0.20190232302908359</v>
      </c>
      <c r="E16" s="21"/>
      <c r="F16" s="24">
        <f>IF('Risk &amp; Credit'!$B$1="Base",20.5%,16.5%)</f>
        <v>0.20499999999999999</v>
      </c>
      <c r="G16" s="24">
        <v>0.20499999999999999</v>
      </c>
      <c r="H16" s="24">
        <v>0.20499999999999999</v>
      </c>
      <c r="I16" s="24">
        <v>0.20499999999999999</v>
      </c>
      <c r="J16" s="24">
        <v>0.20499999999999999</v>
      </c>
      <c r="K16" s="24">
        <v>0.20499999999999999</v>
      </c>
      <c r="L16" s="21"/>
    </row>
    <row r="17" spans="1:12" ht="15" thickBot="1" x14ac:dyDescent="0.35">
      <c r="A17" s="6" t="s">
        <v>9</v>
      </c>
      <c r="B17" s="20">
        <v>367</v>
      </c>
      <c r="C17" s="20">
        <v>357.5</v>
      </c>
      <c r="D17" s="20">
        <v>396.6</v>
      </c>
      <c r="E17" s="21"/>
      <c r="F17" s="20">
        <f>F15*0.246</f>
        <v>448.79629902288008</v>
      </c>
      <c r="G17" s="20">
        <f t="shared" ref="G17:K17" si="7">G15*0.246</f>
        <v>483.50605949213639</v>
      </c>
      <c r="H17" s="20">
        <f t="shared" si="7"/>
        <v>520.08174413395761</v>
      </c>
      <c r="I17" s="20">
        <f t="shared" si="7"/>
        <v>558.62279513562828</v>
      </c>
      <c r="J17" s="20">
        <f t="shared" si="7"/>
        <v>599.23481443604976</v>
      </c>
      <c r="K17" s="20">
        <f t="shared" si="7"/>
        <v>642.03003106808308</v>
      </c>
      <c r="L17" s="21"/>
    </row>
    <row r="18" spans="1:12" ht="15" thickBot="1" x14ac:dyDescent="0.35">
      <c r="A18" s="5" t="s">
        <v>10</v>
      </c>
      <c r="B18" s="20">
        <f>B15-B17</f>
        <v>1161.7</v>
      </c>
      <c r="C18" s="20">
        <f t="shared" ref="C18:D18" si="8">C15-C17</f>
        <v>1152.5</v>
      </c>
      <c r="D18" s="20">
        <f t="shared" si="8"/>
        <v>1259.0999999999999</v>
      </c>
      <c r="E18" s="18">
        <f>(D18/B18)^(1/2)-1</f>
        <v>4.1077636106187532E-2</v>
      </c>
      <c r="F18" s="20">
        <f>F15-F17</f>
        <v>1375.5789002571203</v>
      </c>
      <c r="G18" s="20">
        <f t="shared" ref="G18:K18" si="9">G15-G17</f>
        <v>1481.9657270612638</v>
      </c>
      <c r="H18" s="20">
        <f t="shared" si="9"/>
        <v>1594.0716873048946</v>
      </c>
      <c r="I18" s="20">
        <f t="shared" si="9"/>
        <v>1712.2015753344053</v>
      </c>
      <c r="J18" s="20">
        <f t="shared" si="9"/>
        <v>1836.6790653852909</v>
      </c>
      <c r="K18" s="20">
        <f t="shared" si="9"/>
        <v>1967.8481440054252</v>
      </c>
      <c r="L18" s="18">
        <f>(K18/F18)^(1/2)-1</f>
        <v>0.19606019686051668</v>
      </c>
    </row>
    <row r="19" spans="1:12" ht="15" thickBot="1" x14ac:dyDescent="0.35">
      <c r="A19" s="6" t="s">
        <v>11</v>
      </c>
      <c r="B19" s="21">
        <f>B14</f>
        <v>177.3</v>
      </c>
      <c r="C19" s="21">
        <f t="shared" ref="C19:D19" si="10">C14</f>
        <v>175.4</v>
      </c>
      <c r="D19" s="21">
        <f t="shared" si="10"/>
        <v>179.2</v>
      </c>
      <c r="E19" s="21"/>
      <c r="F19" s="20">
        <f>F14</f>
        <v>195.78660675200007</v>
      </c>
      <c r="G19" s="20">
        <f t="shared" ref="G19:K19" si="11">G14</f>
        <v>210.92867953256004</v>
      </c>
      <c r="H19" s="20">
        <f t="shared" si="11"/>
        <v>226.88475849587687</v>
      </c>
      <c r="I19" s="20">
        <f t="shared" si="11"/>
        <v>243.69822512361338</v>
      </c>
      <c r="J19" s="20">
        <f t="shared" si="11"/>
        <v>261.4151480783878</v>
      </c>
      <c r="K19" s="20">
        <f t="shared" si="11"/>
        <v>280.08448708105948</v>
      </c>
      <c r="L19" s="21"/>
    </row>
    <row r="20" spans="1:12" ht="15" thickBot="1" x14ac:dyDescent="0.35">
      <c r="A20" s="6" t="s">
        <v>12</v>
      </c>
      <c r="B20" s="20">
        <v>-172.8</v>
      </c>
      <c r="C20" s="20">
        <v>-226.5</v>
      </c>
      <c r="D20" s="20">
        <v>-245.3</v>
      </c>
      <c r="E20" s="21"/>
      <c r="F20" s="20">
        <v>-320</v>
      </c>
      <c r="G20" s="20">
        <f>-1*(G10*2.6%)</f>
        <v>-249.27934853848006</v>
      </c>
      <c r="H20" s="20">
        <f t="shared" ref="H20:K20" si="12">-1*(H10*2.6%)</f>
        <v>-268.13653276785448</v>
      </c>
      <c r="I20" s="20">
        <f t="shared" si="12"/>
        <v>-288.00699332790674</v>
      </c>
      <c r="J20" s="20">
        <f t="shared" si="12"/>
        <v>-308.94517500173106</v>
      </c>
      <c r="K20" s="20">
        <f t="shared" si="12"/>
        <v>-331.0089392776157</v>
      </c>
      <c r="L20" s="21"/>
    </row>
    <row r="21" spans="1:12" ht="15" thickBot="1" x14ac:dyDescent="0.35">
      <c r="A21" s="6" t="s">
        <v>13</v>
      </c>
      <c r="B21" s="21">
        <v>120.1</v>
      </c>
      <c r="C21" s="31">
        <f>B29-C29</f>
        <v>-64.866580520547814</v>
      </c>
      <c r="D21" s="31">
        <f>C29-D29</f>
        <v>-213.02145986301412</v>
      </c>
      <c r="E21" s="21"/>
      <c r="F21" s="20">
        <f>D29-F29</f>
        <v>-227.46956014936131</v>
      </c>
      <c r="G21" s="20">
        <f>F29-G29</f>
        <v>-224.01461553350146</v>
      </c>
      <c r="H21" s="20">
        <f t="shared" ref="H21:K21" si="13">G29-H29</f>
        <v>-236.0571730297429</v>
      </c>
      <c r="I21" s="20">
        <f t="shared" si="13"/>
        <v>-248.74152416129573</v>
      </c>
      <c r="J21" s="20">
        <f t="shared" si="13"/>
        <v>-262.10742357848403</v>
      </c>
      <c r="K21" s="20">
        <f t="shared" si="13"/>
        <v>-276.19764212977316</v>
      </c>
      <c r="L21" s="21"/>
    </row>
    <row r="22" spans="1:12" ht="15" thickBot="1" x14ac:dyDescent="0.35">
      <c r="A22" s="6" t="s">
        <v>54</v>
      </c>
      <c r="B22" s="20">
        <v>55.4</v>
      </c>
      <c r="C22" s="20">
        <f>B22</f>
        <v>55.4</v>
      </c>
      <c r="D22" s="20">
        <f>$B$22</f>
        <v>55.4</v>
      </c>
      <c r="E22" s="21"/>
      <c r="F22" s="20">
        <f>IF('Risk &amp; Credit'!$B$1="Base", 55.4, 70.4)</f>
        <v>55.4</v>
      </c>
      <c r="G22" s="20">
        <v>55.4</v>
      </c>
      <c r="H22" s="20">
        <v>55.4</v>
      </c>
      <c r="I22" s="20">
        <v>55.4</v>
      </c>
      <c r="J22" s="20">
        <v>55.4</v>
      </c>
      <c r="K22" s="20">
        <v>55.4</v>
      </c>
      <c r="L22" s="21"/>
    </row>
    <row r="23" spans="1:12" ht="15" thickBot="1" x14ac:dyDescent="0.35">
      <c r="A23" s="6" t="s">
        <v>55</v>
      </c>
      <c r="B23" s="21">
        <v>141.5</v>
      </c>
      <c r="C23" s="21">
        <f>$B$23</f>
        <v>141.5</v>
      </c>
      <c r="D23" s="21">
        <f>$B$23</f>
        <v>141.5</v>
      </c>
      <c r="E23" s="21"/>
      <c r="F23" s="20">
        <f>IF('Risk &amp; Credit'!$B$1="Base", 141.5, 161.5)</f>
        <v>141.5</v>
      </c>
      <c r="G23" s="20">
        <v>141.5</v>
      </c>
      <c r="H23" s="20">
        <v>141.5</v>
      </c>
      <c r="I23" s="20">
        <v>141.5</v>
      </c>
      <c r="J23" s="20">
        <v>141.5</v>
      </c>
      <c r="K23" s="20">
        <v>141.5</v>
      </c>
      <c r="L23" s="21"/>
    </row>
    <row r="24" spans="1:12" ht="15" thickBot="1" x14ac:dyDescent="0.35">
      <c r="A24" s="6" t="s">
        <v>56</v>
      </c>
      <c r="B24" s="21">
        <v>25.6</v>
      </c>
      <c r="C24" s="21">
        <f>B24</f>
        <v>25.6</v>
      </c>
      <c r="D24" s="21">
        <f>C24</f>
        <v>25.6</v>
      </c>
      <c r="E24" s="21"/>
      <c r="F24" s="20">
        <f>B24</f>
        <v>25.6</v>
      </c>
      <c r="G24" s="20">
        <f t="shared" ref="G24:K24" si="14">C24</f>
        <v>25.6</v>
      </c>
      <c r="H24" s="20">
        <f t="shared" si="14"/>
        <v>25.6</v>
      </c>
      <c r="I24" s="20">
        <f>B24</f>
        <v>25.6</v>
      </c>
      <c r="J24" s="20">
        <f t="shared" si="14"/>
        <v>25.6</v>
      </c>
      <c r="K24" s="20">
        <f t="shared" si="14"/>
        <v>25.6</v>
      </c>
      <c r="L24" s="21"/>
    </row>
    <row r="25" spans="1:12" ht="15" thickBot="1" x14ac:dyDescent="0.35">
      <c r="A25" s="6" t="s">
        <v>57</v>
      </c>
      <c r="B25" s="31">
        <f>B10*0.547</f>
        <v>4018.6449000000002</v>
      </c>
      <c r="C25" s="31">
        <f t="shared" ref="C25:D25" si="15">C10*0.547</f>
        <v>4127.6620000000003</v>
      </c>
      <c r="D25" s="31">
        <f t="shared" si="15"/>
        <v>4485.6735000000008</v>
      </c>
      <c r="E25" s="21"/>
      <c r="F25" s="46">
        <f>F10*54.7%</f>
        <v>4867.9669951520018</v>
      </c>
      <c r="G25" s="46">
        <f t="shared" ref="G25:K25" si="16">G10*54.7%</f>
        <v>5244.4539865595607</v>
      </c>
      <c r="H25" s="46">
        <f t="shared" si="16"/>
        <v>5641.1801316929386</v>
      </c>
      <c r="I25" s="46">
        <f t="shared" si="16"/>
        <v>6059.2240519371144</v>
      </c>
      <c r="J25" s="46">
        <f t="shared" si="16"/>
        <v>6499.731181767188</v>
      </c>
      <c r="K25" s="46">
        <f t="shared" si="16"/>
        <v>6963.9188378790686</v>
      </c>
      <c r="L25" s="21"/>
    </row>
    <row r="26" spans="1:12" ht="15" thickBot="1" x14ac:dyDescent="0.35">
      <c r="A26" s="6" t="s">
        <v>58</v>
      </c>
      <c r="B26" s="31">
        <f>(B10/365)*B22</f>
        <v>1115.0881643835617</v>
      </c>
      <c r="C26" s="31">
        <f t="shared" ref="C26:D26" si="17">(C10/365)*C22</f>
        <v>1145.3380821917808</v>
      </c>
      <c r="D26" s="31">
        <f t="shared" si="17"/>
        <v>1244.6786301369862</v>
      </c>
      <c r="E26" s="21"/>
      <c r="F26" s="20">
        <f>(F10/365)*F22</f>
        <v>1350.7569133326031</v>
      </c>
      <c r="G26" s="20">
        <f t="shared" ref="G26:K26" si="18">(G10/365)*G22</f>
        <v>1455.2240157040878</v>
      </c>
      <c r="H26" s="20">
        <f t="shared" si="18"/>
        <v>1565.307051142164</v>
      </c>
      <c r="I26" s="20">
        <f t="shared" si="18"/>
        <v>1681.3053140533225</v>
      </c>
      <c r="J26" s="20">
        <f t="shared" si="18"/>
        <v>1803.5366380501473</v>
      </c>
      <c r="K26" s="20">
        <f t="shared" si="18"/>
        <v>1932.3388025268607</v>
      </c>
      <c r="L26" s="21"/>
    </row>
    <row r="27" spans="1:12" ht="15" thickBot="1" x14ac:dyDescent="0.35">
      <c r="A27" s="6" t="s">
        <v>59</v>
      </c>
      <c r="B27" s="20">
        <f>(B25/365)*B24</f>
        <v>281.85564230136987</v>
      </c>
      <c r="C27" s="20">
        <f t="shared" ref="C27:D27" si="19">(C25/365)*C24</f>
        <v>289.50177315068498</v>
      </c>
      <c r="D27" s="20">
        <f t="shared" si="19"/>
        <v>314.61162082191788</v>
      </c>
      <c r="E27" s="21"/>
      <c r="F27" s="20">
        <f>(F25/365)*F24</f>
        <v>341.42453445449655</v>
      </c>
      <c r="G27" s="20">
        <f t="shared" ref="G27:K27" si="20">(G25/365)*G24</f>
        <v>367.8301974134925</v>
      </c>
      <c r="H27" s="20">
        <f t="shared" si="20"/>
        <v>395.65537362010747</v>
      </c>
      <c r="I27" s="20">
        <f t="shared" si="20"/>
        <v>424.9757143276442</v>
      </c>
      <c r="J27" s="20">
        <f t="shared" si="20"/>
        <v>455.87155685819181</v>
      </c>
      <c r="K27" s="20">
        <f t="shared" si="20"/>
        <v>488.42828013617583</v>
      </c>
      <c r="L27" s="21"/>
    </row>
    <row r="28" spans="1:12" ht="15" thickBot="1" x14ac:dyDescent="0.35">
      <c r="A28" s="6" t="s">
        <v>60</v>
      </c>
      <c r="B28" s="31">
        <f>(B25/365)*B23</f>
        <v>1557.9130228767124</v>
      </c>
      <c r="C28" s="31">
        <f t="shared" ref="C28:D28" si="21">(C25/365)*C23</f>
        <v>1600.1758164383562</v>
      </c>
      <c r="D28" s="31">
        <f t="shared" si="21"/>
        <v>1738.9665760273977</v>
      </c>
      <c r="E28" s="21"/>
      <c r="F28" s="20">
        <f>(F25/365)*F23</f>
        <v>1887.1707666137211</v>
      </c>
      <c r="G28" s="20">
        <f t="shared" ref="G28:K28" si="22">(G25/365)*G23</f>
        <v>2033.1239427347339</v>
      </c>
      <c r="H28" s="20">
        <f t="shared" si="22"/>
        <v>2186.9232565330158</v>
      </c>
      <c r="I28" s="20">
        <f t="shared" si="22"/>
        <v>2348.9868584906894</v>
      </c>
      <c r="J28" s="20">
        <f t="shared" si="22"/>
        <v>2519.7588006028959</v>
      </c>
      <c r="K28" s="20">
        <f t="shared" si="22"/>
        <v>2699.7110015339404</v>
      </c>
      <c r="L28" s="21"/>
    </row>
    <row r="29" spans="1:12" ht="15" thickBot="1" x14ac:dyDescent="0.35">
      <c r="A29" s="6" t="s">
        <v>61</v>
      </c>
      <c r="B29" s="31">
        <f>B26+B28-B27</f>
        <v>2391.1455449589043</v>
      </c>
      <c r="C29" s="31">
        <f t="shared" ref="C29:D29" si="23">C26+C28-C27</f>
        <v>2456.0121254794522</v>
      </c>
      <c r="D29" s="31">
        <f t="shared" si="23"/>
        <v>2669.0335853424663</v>
      </c>
      <c r="E29" s="21"/>
      <c r="F29" s="20">
        <f>F26+F28-F27</f>
        <v>2896.5031454918276</v>
      </c>
      <c r="G29" s="20">
        <f t="shared" ref="G29:K29" si="24">G26+G28-G27</f>
        <v>3120.517761025329</v>
      </c>
      <c r="H29" s="20">
        <f t="shared" si="24"/>
        <v>3356.5749340550719</v>
      </c>
      <c r="I29" s="20">
        <f t="shared" si="24"/>
        <v>3605.3164582163677</v>
      </c>
      <c r="J29" s="20">
        <f t="shared" si="24"/>
        <v>3867.4238817948517</v>
      </c>
      <c r="K29" s="20">
        <f t="shared" si="24"/>
        <v>4143.6215239246249</v>
      </c>
      <c r="L29" s="21"/>
    </row>
    <row r="30" spans="1:12" ht="15" thickBot="1" x14ac:dyDescent="0.35">
      <c r="A30" s="5" t="s">
        <v>14</v>
      </c>
      <c r="B30" s="20">
        <f>B18+B19+B20+B21</f>
        <v>1286.3</v>
      </c>
      <c r="C30" s="20">
        <f>C18+C19+C20+C21</f>
        <v>1036.5334194794523</v>
      </c>
      <c r="D30" s="20">
        <f>D18+D19+D20+D21</f>
        <v>979.97854013698588</v>
      </c>
      <c r="E30" s="21"/>
      <c r="F30" s="20">
        <f t="shared" ref="F30:K30" si="25">F18+F19+F20+F21</f>
        <v>1023.8959468597591</v>
      </c>
      <c r="G30" s="20">
        <f t="shared" si="25"/>
        <v>1219.6004425218423</v>
      </c>
      <c r="H30" s="20">
        <f t="shared" si="25"/>
        <v>1316.762740003174</v>
      </c>
      <c r="I30" s="20">
        <f t="shared" si="25"/>
        <v>1419.1512829688163</v>
      </c>
      <c r="J30" s="20">
        <f t="shared" si="25"/>
        <v>1527.0416148834638</v>
      </c>
      <c r="K30" s="20">
        <f t="shared" si="25"/>
        <v>1640.7260496790955</v>
      </c>
      <c r="L30" s="21"/>
    </row>
    <row r="31" spans="1:12" ht="15" thickBot="1" x14ac:dyDescent="0.35">
      <c r="A31" s="6" t="s">
        <v>15</v>
      </c>
      <c r="B31" s="25">
        <v>0.09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 ht="15" thickBot="1" x14ac:dyDescent="0.35">
      <c r="A32" s="6" t="s">
        <v>16</v>
      </c>
      <c r="B32" s="21"/>
      <c r="C32" s="21"/>
      <c r="D32" s="21"/>
      <c r="E32" s="21"/>
      <c r="F32" s="21"/>
      <c r="G32" s="21">
        <v>0.5</v>
      </c>
      <c r="H32" s="21">
        <v>1.5</v>
      </c>
      <c r="I32" s="21">
        <v>2.5</v>
      </c>
      <c r="J32" s="21">
        <v>3.5</v>
      </c>
      <c r="K32" s="21">
        <v>4.5</v>
      </c>
      <c r="L32" s="21"/>
    </row>
    <row r="33" spans="1:12" ht="15" thickBot="1" x14ac:dyDescent="0.35">
      <c r="A33" s="13" t="s">
        <v>17</v>
      </c>
      <c r="B33" s="26"/>
      <c r="C33" s="26"/>
      <c r="D33" s="26"/>
      <c r="E33" s="26"/>
      <c r="F33" s="26"/>
      <c r="G33" s="27">
        <f>1/(1+$B$31)^G32</f>
        <v>0.95782628522115132</v>
      </c>
      <c r="H33" s="27">
        <f t="shared" ref="H33:K33" si="26">1/(1+$B$31)^H32</f>
        <v>0.8787397112120654</v>
      </c>
      <c r="I33" s="27">
        <f t="shared" si="26"/>
        <v>0.80618322129547271</v>
      </c>
      <c r="J33" s="27">
        <f t="shared" si="26"/>
        <v>0.73961763421603011</v>
      </c>
      <c r="K33" s="27">
        <f t="shared" si="26"/>
        <v>0.67854828827158709</v>
      </c>
      <c r="L33" s="26"/>
    </row>
    <row r="34" spans="1:12" s="15" customFormat="1" ht="15" thickTop="1" x14ac:dyDescent="0.3">
      <c r="A34" s="14" t="s">
        <v>18</v>
      </c>
      <c r="B34" s="28"/>
      <c r="C34" s="28"/>
      <c r="D34" s="28"/>
      <c r="E34" s="28"/>
      <c r="F34" s="28"/>
      <c r="G34" s="29">
        <f>G30*G33</f>
        <v>1168.1653613147685</v>
      </c>
      <c r="H34" s="29">
        <f t="shared" ref="H34:K34" si="27">H30*H33</f>
        <v>1157.0917098851971</v>
      </c>
      <c r="I34" s="29">
        <f t="shared" si="27"/>
        <v>1144.0959528094033</v>
      </c>
      <c r="J34" s="29">
        <f t="shared" si="27"/>
        <v>1129.4269065495337</v>
      </c>
      <c r="K34" s="29">
        <f t="shared" si="27"/>
        <v>1113.3118525323532</v>
      </c>
      <c r="L34" s="28"/>
    </row>
    <row r="37" spans="1:12" x14ac:dyDescent="0.3">
      <c r="A37" s="1" t="s">
        <v>19</v>
      </c>
      <c r="E37" s="1" t="s">
        <v>26</v>
      </c>
      <c r="K37" s="1" t="s">
        <v>34</v>
      </c>
    </row>
    <row r="38" spans="1:12" ht="16.8" thickBot="1" x14ac:dyDescent="0.35">
      <c r="A38" s="4"/>
      <c r="E38" s="4"/>
      <c r="K38" s="4"/>
    </row>
    <row r="39" spans="1:12" ht="15" thickBot="1" x14ac:dyDescent="0.35">
      <c r="A39" s="5" t="s">
        <v>2</v>
      </c>
      <c r="B39" s="5" t="s">
        <v>20</v>
      </c>
      <c r="E39" s="5" t="s">
        <v>2</v>
      </c>
      <c r="F39" s="5" t="s">
        <v>20</v>
      </c>
      <c r="K39" s="5" t="s">
        <v>2</v>
      </c>
      <c r="L39" s="5" t="s">
        <v>20</v>
      </c>
    </row>
    <row r="40" spans="1:12" ht="28.2" thickBot="1" x14ac:dyDescent="0.35">
      <c r="A40" s="6" t="s">
        <v>21</v>
      </c>
      <c r="B40" s="31">
        <f>SUM(G34:K34)</f>
        <v>5712.0917830912558</v>
      </c>
      <c r="E40" s="5" t="s">
        <v>19</v>
      </c>
      <c r="F40" s="35">
        <f>B48</f>
        <v>41009.717699419314</v>
      </c>
      <c r="K40" s="6" t="s">
        <v>43</v>
      </c>
      <c r="L40" s="31">
        <f>K34</f>
        <v>1113.3118525323532</v>
      </c>
    </row>
    <row r="41" spans="1:12" ht="15" thickBot="1" x14ac:dyDescent="0.35">
      <c r="A41" s="5" t="s">
        <v>22</v>
      </c>
      <c r="B41" s="32">
        <f>18*K12</f>
        <v>52019.327918782219</v>
      </c>
      <c r="E41" s="6" t="s">
        <v>27</v>
      </c>
      <c r="F41" s="20">
        <v>120</v>
      </c>
      <c r="K41" s="6" t="s">
        <v>15</v>
      </c>
      <c r="L41" s="37">
        <f>B31</f>
        <v>0.09</v>
      </c>
    </row>
    <row r="42" spans="1:12" ht="15" thickBot="1" x14ac:dyDescent="0.35">
      <c r="A42" s="6" t="s">
        <v>42</v>
      </c>
      <c r="B42" s="20">
        <f>K12</f>
        <v>2889.9626621545676</v>
      </c>
      <c r="E42" s="6" t="s">
        <v>28</v>
      </c>
      <c r="F42" s="21">
        <v>0</v>
      </c>
      <c r="K42" s="6" t="s">
        <v>22</v>
      </c>
      <c r="L42" s="20">
        <f>B41</f>
        <v>52019.327918782219</v>
      </c>
    </row>
    <row r="43" spans="1:12" ht="28.2" thickBot="1" x14ac:dyDescent="0.35">
      <c r="A43" s="6" t="s">
        <v>23</v>
      </c>
      <c r="B43" s="33">
        <v>18</v>
      </c>
      <c r="E43" s="6" t="s">
        <v>29</v>
      </c>
      <c r="F43" s="21">
        <v>0</v>
      </c>
      <c r="K43" s="5" t="s">
        <v>34</v>
      </c>
      <c r="L43" s="38">
        <f>(L42*L41-L40)/(L42-L40)</f>
        <v>7.0098348602138497E-2</v>
      </c>
    </row>
    <row r="44" spans="1:12" ht="15" thickBot="1" x14ac:dyDescent="0.35">
      <c r="A44" s="5" t="s">
        <v>22</v>
      </c>
      <c r="B44" s="32">
        <f>B42*B43</f>
        <v>52019.327918782219</v>
      </c>
      <c r="E44" s="6" t="s">
        <v>30</v>
      </c>
      <c r="F44" s="21">
        <v>204.7</v>
      </c>
      <c r="K44" s="1"/>
    </row>
    <row r="45" spans="1:12" ht="15" thickBot="1" x14ac:dyDescent="0.35">
      <c r="A45" s="6" t="s">
        <v>17</v>
      </c>
      <c r="B45" s="34">
        <f>K33</f>
        <v>0.67854828827158709</v>
      </c>
      <c r="E45" s="5" t="s">
        <v>31</v>
      </c>
      <c r="F45" s="35">
        <f>F40-F41+F44</f>
        <v>41094.417699419311</v>
      </c>
      <c r="K45" s="1" t="s">
        <v>35</v>
      </c>
    </row>
    <row r="46" spans="1:12" ht="15" thickBot="1" x14ac:dyDescent="0.35">
      <c r="A46" s="5" t="s">
        <v>24</v>
      </c>
      <c r="B46" s="32">
        <f>B44*B45</f>
        <v>35297.625916328056</v>
      </c>
      <c r="E46" s="6" t="s">
        <v>32</v>
      </c>
      <c r="F46" s="19">
        <v>1150.3</v>
      </c>
      <c r="K46" s="5" t="s">
        <v>2</v>
      </c>
      <c r="L46" s="5" t="s">
        <v>20</v>
      </c>
    </row>
    <row r="47" spans="1:12" ht="15" thickBot="1" x14ac:dyDescent="0.35">
      <c r="A47" s="7" t="s">
        <v>25</v>
      </c>
      <c r="B47" s="18">
        <f>B46/F40</f>
        <v>0.86071370144612969</v>
      </c>
      <c r="E47" s="5" t="s">
        <v>33</v>
      </c>
      <c r="F47" s="36">
        <f>F45/F46</f>
        <v>35.724956706441198</v>
      </c>
      <c r="K47" s="6" t="s">
        <v>19</v>
      </c>
      <c r="L47" s="19">
        <f>F40</f>
        <v>41009.717699419314</v>
      </c>
    </row>
    <row r="48" spans="1:12" ht="15" thickBot="1" x14ac:dyDescent="0.35">
      <c r="A48" s="5" t="s">
        <v>19</v>
      </c>
      <c r="B48" s="32">
        <f>B40+B46</f>
        <v>41009.717699419314</v>
      </c>
      <c r="K48" s="6" t="s">
        <v>44</v>
      </c>
      <c r="L48" s="39">
        <v>1954.7</v>
      </c>
    </row>
    <row r="49" spans="1:14" ht="15" thickBot="1" x14ac:dyDescent="0.35">
      <c r="K49" s="5" t="s">
        <v>35</v>
      </c>
      <c r="L49" s="40">
        <f>L47/L48</f>
        <v>20.98005714402175</v>
      </c>
    </row>
    <row r="52" spans="1:14" ht="15" thickBot="1" x14ac:dyDescent="0.35">
      <c r="A52" s="1" t="s">
        <v>36</v>
      </c>
      <c r="I52" s="1" t="s">
        <v>38</v>
      </c>
    </row>
    <row r="53" spans="1:14" ht="42" thickBot="1" x14ac:dyDescent="0.35">
      <c r="A53" s="5" t="s">
        <v>45</v>
      </c>
      <c r="I53" s="5" t="s">
        <v>37</v>
      </c>
    </row>
    <row r="54" spans="1:14" ht="15" thickBot="1" x14ac:dyDescent="0.35">
      <c r="A54" s="10" t="e">
        <f>#REF!</f>
        <v>#REF!</v>
      </c>
      <c r="B54" s="5">
        <v>16</v>
      </c>
      <c r="C54" s="5">
        <v>17</v>
      </c>
      <c r="D54" s="5">
        <v>18</v>
      </c>
      <c r="E54" s="5">
        <v>19</v>
      </c>
      <c r="F54" s="5">
        <v>20</v>
      </c>
      <c r="H54" s="11"/>
      <c r="I54" s="12">
        <f>L43</f>
        <v>7.0098348602138497E-2</v>
      </c>
      <c r="J54" s="5">
        <v>16</v>
      </c>
      <c r="K54" s="5">
        <v>17</v>
      </c>
      <c r="L54" s="5">
        <v>18</v>
      </c>
      <c r="M54" s="5">
        <v>19</v>
      </c>
      <c r="N54" s="5">
        <v>20</v>
      </c>
    </row>
    <row r="55" spans="1:14" ht="15" thickBot="1" x14ac:dyDescent="0.35">
      <c r="A55" s="8">
        <v>0.08</v>
      </c>
      <c r="B55" s="20">
        <v>37608.758256925685</v>
      </c>
      <c r="C55" s="20">
        <v>39581.885824713652</v>
      </c>
      <c r="D55" s="20">
        <v>41555.013392501627</v>
      </c>
      <c r="E55" s="20">
        <v>43528.140960289602</v>
      </c>
      <c r="F55" s="20">
        <v>45501.268528077569</v>
      </c>
      <c r="I55" s="8">
        <v>0.08</v>
      </c>
      <c r="J55" s="41">
        <f t="dataTable" ref="J55:N59" dt2D="1" dtr="1" r1="B43" r2="B31"/>
        <v>5.9008170545452689E-2</v>
      </c>
      <c r="K55" s="41">
        <v>5.9008170545452689E-2</v>
      </c>
      <c r="L55" s="41">
        <v>5.9008170545452689E-2</v>
      </c>
      <c r="M55" s="41">
        <v>5.9008170545452689E-2</v>
      </c>
      <c r="N55" s="41">
        <v>5.9008170545452689E-2</v>
      </c>
    </row>
    <row r="56" spans="1:14" ht="15" thickBot="1" x14ac:dyDescent="0.35">
      <c r="A56" s="9">
        <v>8.5000000000000006E-2</v>
      </c>
      <c r="B56" s="20">
        <v>36890.284632403418</v>
      </c>
      <c r="C56" s="20">
        <v>38822.823522188577</v>
      </c>
      <c r="D56" s="20">
        <v>40755.362411973736</v>
      </c>
      <c r="E56" s="20">
        <v>42687.901301758902</v>
      </c>
      <c r="F56" s="20">
        <v>44620.440191544069</v>
      </c>
      <c r="I56" s="9">
        <v>8.5000000000000006E-2</v>
      </c>
      <c r="J56" s="41">
        <v>6.4561320269760913E-2</v>
      </c>
      <c r="K56" s="41">
        <v>6.4561320269760913E-2</v>
      </c>
      <c r="L56" s="41">
        <v>6.4561320269760913E-2</v>
      </c>
      <c r="M56" s="41">
        <v>6.4561320269760913E-2</v>
      </c>
      <c r="N56" s="41">
        <v>6.4561320269760913E-2</v>
      </c>
    </row>
    <row r="57" spans="1:14" ht="15" thickBot="1" x14ac:dyDescent="0.35">
      <c r="A57" s="8">
        <v>0.09</v>
      </c>
      <c r="B57" s="20">
        <v>36189.414139619403</v>
      </c>
      <c r="C57" s="20">
        <v>38082.380182364723</v>
      </c>
      <c r="D57" s="42">
        <v>39975.346225110043</v>
      </c>
      <c r="E57" s="20">
        <v>41868.31226785537</v>
      </c>
      <c r="F57" s="20">
        <v>43761.27831060069</v>
      </c>
      <c r="I57" s="8">
        <v>0.09</v>
      </c>
      <c r="J57" s="41">
        <v>7.0098348602138497E-2</v>
      </c>
      <c r="K57" s="41">
        <v>7.0098348602138497E-2</v>
      </c>
      <c r="L57" s="38">
        <v>7.0098348602138497E-2</v>
      </c>
      <c r="M57" s="41">
        <v>7.0098348602138497E-2</v>
      </c>
      <c r="N57" s="41">
        <v>7.0098348602138497E-2</v>
      </c>
    </row>
    <row r="58" spans="1:14" ht="15" thickBot="1" x14ac:dyDescent="0.35">
      <c r="A58" s="9">
        <v>9.5000000000000001E-2</v>
      </c>
      <c r="B58" s="20">
        <v>35505.633914361162</v>
      </c>
      <c r="C58" s="20">
        <v>37360.013031174865</v>
      </c>
      <c r="D58" s="43">
        <v>39214.392147988561</v>
      </c>
      <c r="E58" s="20">
        <v>41068.771264802264</v>
      </c>
      <c r="F58" s="20">
        <v>42923.15038161596</v>
      </c>
      <c r="I58" s="9">
        <v>9.5000000000000001E-2</v>
      </c>
      <c r="J58" s="41">
        <v>7.5619791791790653E-2</v>
      </c>
      <c r="K58" s="41">
        <v>7.5619791791790653E-2</v>
      </c>
      <c r="L58" s="41">
        <v>7.5619791791790653E-2</v>
      </c>
      <c r="M58" s="41">
        <v>7.5619791791790653E-2</v>
      </c>
      <c r="N58" s="41">
        <v>7.5619791791790653E-2</v>
      </c>
    </row>
    <row r="59" spans="1:14" ht="15" thickBot="1" x14ac:dyDescent="0.35">
      <c r="A59" s="8">
        <v>0.1</v>
      </c>
      <c r="B59" s="20">
        <v>34838.448327893944</v>
      </c>
      <c r="C59" s="20">
        <v>36655.197541584872</v>
      </c>
      <c r="D59" s="20">
        <v>38471.946755275792</v>
      </c>
      <c r="E59" s="20">
        <v>40288.695968966727</v>
      </c>
      <c r="F59" s="20">
        <v>42105.445182657648</v>
      </c>
      <c r="I59" s="8">
        <v>0.1</v>
      </c>
      <c r="J59" s="41">
        <v>8.1126165690575625E-2</v>
      </c>
      <c r="K59" s="41">
        <v>8.1126165690575625E-2</v>
      </c>
      <c r="L59" s="41">
        <v>8.1126165690575625E-2</v>
      </c>
      <c r="M59" s="41">
        <v>8.1126165690575625E-2</v>
      </c>
      <c r="N59" s="41">
        <v>8.1126165690575625E-2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1FC8-A18E-4841-8809-407427AA0C81}">
  <dimension ref="A1:Z6"/>
  <sheetViews>
    <sheetView showGridLines="0" workbookViewId="0">
      <selection activeCell="B1" sqref="B1"/>
    </sheetView>
  </sheetViews>
  <sheetFormatPr defaultRowHeight="14.4" x14ac:dyDescent="0.3"/>
  <cols>
    <col min="1" max="1" width="12.6640625" bestFit="1" customWidth="1"/>
    <col min="2" max="4" width="10.44140625" customWidth="1"/>
    <col min="5" max="5" width="20.44140625" bestFit="1" customWidth="1"/>
    <col min="6" max="6" width="10.44140625" customWidth="1"/>
  </cols>
  <sheetData>
    <row r="1" spans="1:26" ht="15.6" x14ac:dyDescent="0.3">
      <c r="A1" s="44" t="s">
        <v>49</v>
      </c>
      <c r="B1" t="s">
        <v>47</v>
      </c>
      <c r="E1" s="48" t="s">
        <v>62</v>
      </c>
      <c r="Z1" t="s">
        <v>47</v>
      </c>
    </row>
    <row r="2" spans="1:26" x14ac:dyDescent="0.3">
      <c r="B2" t="s">
        <v>47</v>
      </c>
      <c r="C2" t="s">
        <v>48</v>
      </c>
      <c r="E2" t="s">
        <v>63</v>
      </c>
      <c r="F2" s="49">
        <v>6</v>
      </c>
      <c r="Z2" t="s">
        <v>48</v>
      </c>
    </row>
    <row r="3" spans="1:26" x14ac:dyDescent="0.3">
      <c r="A3" t="s">
        <v>50</v>
      </c>
      <c r="B3" s="45">
        <v>0.115</v>
      </c>
      <c r="C3" s="45">
        <v>-0.15</v>
      </c>
      <c r="E3" t="s">
        <v>64</v>
      </c>
      <c r="F3">
        <f>'DCF Analysis'!F12</f>
        <v>2020.1618060320004</v>
      </c>
    </row>
    <row r="4" spans="1:26" x14ac:dyDescent="0.3">
      <c r="A4" t="s">
        <v>51</v>
      </c>
      <c r="B4" s="45">
        <v>0.20499999999999999</v>
      </c>
      <c r="C4" s="45">
        <v>0.16500000000000001</v>
      </c>
      <c r="E4" t="s">
        <v>65</v>
      </c>
      <c r="F4" s="47">
        <f>F3/F2</f>
        <v>336.69363433866675</v>
      </c>
    </row>
    <row r="5" spans="1:26" x14ac:dyDescent="0.3">
      <c r="A5" t="s">
        <v>52</v>
      </c>
      <c r="B5" s="47">
        <v>55.4</v>
      </c>
      <c r="C5" s="47">
        <v>70.400000000000006</v>
      </c>
    </row>
    <row r="6" spans="1:26" x14ac:dyDescent="0.3">
      <c r="A6" t="s">
        <v>53</v>
      </c>
      <c r="B6">
        <v>141.5</v>
      </c>
      <c r="C6">
        <v>161.5</v>
      </c>
    </row>
  </sheetData>
  <dataValidations count="1">
    <dataValidation type="list" allowBlank="1" showInputMessage="1" showErrorMessage="1" sqref="B1" xr:uid="{6068C406-C08E-49F8-87C3-0D3B43BDBB7B}">
      <formula1>$Z$1:$Z$2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AA08-A043-4453-8093-BAD67286158D}">
  <dimension ref="A1:K12"/>
  <sheetViews>
    <sheetView zoomScale="117" zoomScaleNormal="117" workbookViewId="0">
      <selection activeCell="G12" sqref="G12"/>
    </sheetView>
  </sheetViews>
  <sheetFormatPr defaultRowHeight="14.4" x14ac:dyDescent="0.3"/>
  <cols>
    <col min="1" max="1" width="21.6640625" bestFit="1" customWidth="1"/>
    <col min="2" max="3" width="11.6640625" bestFit="1" customWidth="1"/>
    <col min="4" max="6" width="9.77734375" customWidth="1"/>
    <col min="7" max="9" width="10.21875" bestFit="1" customWidth="1"/>
    <col min="10" max="10" width="10.77734375" customWidth="1"/>
  </cols>
  <sheetData>
    <row r="1" spans="1:11" x14ac:dyDescent="0.3">
      <c r="A1" s="48" t="s">
        <v>66</v>
      </c>
    </row>
    <row r="2" spans="1:11" x14ac:dyDescent="0.3">
      <c r="B2" t="s">
        <v>72</v>
      </c>
      <c r="C2" t="s">
        <v>67</v>
      </c>
      <c r="D2" s="55" t="s">
        <v>74</v>
      </c>
      <c r="E2" s="52" t="s">
        <v>75</v>
      </c>
      <c r="F2" s="52" t="s">
        <v>76</v>
      </c>
      <c r="G2" s="52" t="s">
        <v>77</v>
      </c>
      <c r="H2" s="52" t="s">
        <v>78</v>
      </c>
      <c r="I2" s="52" t="s">
        <v>79</v>
      </c>
      <c r="J2" s="52" t="s">
        <v>80</v>
      </c>
    </row>
    <row r="3" spans="1:11" x14ac:dyDescent="0.3">
      <c r="A3" t="s">
        <v>68</v>
      </c>
      <c r="B3" s="50">
        <v>1597</v>
      </c>
      <c r="C3" s="50">
        <v>1499</v>
      </c>
      <c r="D3" s="50">
        <f>Table4[[#This Row],[Column3]]-50</f>
        <v>1449</v>
      </c>
      <c r="E3" s="50">
        <f>Table4[[#This Row],[Column4]]-50</f>
        <v>1399</v>
      </c>
      <c r="F3" s="50">
        <f>Table4[[#This Row],[Column5]]-50</f>
        <v>1349</v>
      </c>
      <c r="G3" s="50">
        <f>Table4[[#This Row],[Column6]]-50</f>
        <v>1299</v>
      </c>
      <c r="H3" s="50">
        <f>Table4[[#This Row],[Column7]]-50</f>
        <v>1249</v>
      </c>
      <c r="I3" s="50">
        <f>Table4[[#This Row],[Column8]]-50</f>
        <v>1199</v>
      </c>
      <c r="J3" s="50">
        <f>Table4[[#This Row],[Column9]]-50</f>
        <v>1149</v>
      </c>
      <c r="K3" s="50"/>
    </row>
    <row r="4" spans="1:11" x14ac:dyDescent="0.3">
      <c r="A4" t="s">
        <v>69</v>
      </c>
      <c r="B4" s="51">
        <v>2.5499999999999998</v>
      </c>
      <c r="C4" s="51">
        <v>2.74</v>
      </c>
      <c r="D4" s="53">
        <f>Table4[[#This Row],[Column3]]*(1+0.03)</f>
        <v>2.8222000000000005</v>
      </c>
      <c r="E4" s="53">
        <f>Table4[[#This Row],[Column4]]*(1+0.03)</f>
        <v>2.9068660000000004</v>
      </c>
      <c r="F4" s="53">
        <f>Table4[[#This Row],[Column5]]*(1+0.03)</f>
        <v>2.9940719800000006</v>
      </c>
      <c r="G4" s="53">
        <f>Table4[[#This Row],[Column6]]*(1+0.03)</f>
        <v>3.0838941394000008</v>
      </c>
      <c r="H4" s="53">
        <f>Table4[[#This Row],[Column7]]*(1+0.03)</f>
        <v>3.176410963582001</v>
      </c>
      <c r="I4" s="53">
        <f>Table4[[#This Row],[Column8]]*(1+0.03)</f>
        <v>3.2717032924894611</v>
      </c>
      <c r="J4" s="53">
        <f>Table4[[#This Row],[Column9]]*(1+0.03)</f>
        <v>3.3698543912641452</v>
      </c>
    </row>
    <row r="5" spans="1:11" x14ac:dyDescent="0.3">
      <c r="A5" t="s">
        <v>70</v>
      </c>
      <c r="B5" s="50">
        <v>1822</v>
      </c>
      <c r="C5" s="50">
        <v>2031</v>
      </c>
      <c r="D5" s="50">
        <f>Table4[[#This Row],[Column3]]+100</f>
        <v>2131</v>
      </c>
      <c r="E5" s="50">
        <f>Table4[[#This Row],[Column4]]+300</f>
        <v>2431</v>
      </c>
      <c r="F5" s="50">
        <f>Table4[[#This Row],[Column5]]+300</f>
        <v>2731</v>
      </c>
      <c r="G5" s="50">
        <f>Table4[[#This Row],[Column6]]+300</f>
        <v>3031</v>
      </c>
      <c r="H5" s="50">
        <f>Table4[[#This Row],[Column7]]+300</f>
        <v>3331</v>
      </c>
      <c r="I5" s="50">
        <f>Table4[[#This Row],[Column8]]+300</f>
        <v>3631</v>
      </c>
      <c r="J5" s="50">
        <f>Table4[[#This Row],[Column9]]+300</f>
        <v>3931</v>
      </c>
    </row>
    <row r="6" spans="1:11" x14ac:dyDescent="0.3">
      <c r="A6" t="s">
        <v>71</v>
      </c>
      <c r="B6" s="51">
        <v>1.61</v>
      </c>
      <c r="C6" s="54">
        <v>1.58</v>
      </c>
      <c r="D6" s="54">
        <f>Table4[[#This Row],[Column3]]*(1+0.03)</f>
        <v>1.6274000000000002</v>
      </c>
      <c r="E6" s="54">
        <f>Table4[[#This Row],[Column4]]*(1+0.03)</f>
        <v>1.6762220000000003</v>
      </c>
      <c r="F6" s="54">
        <f>Table4[[#This Row],[Column5]]*(1+0.03)</f>
        <v>1.7265086600000004</v>
      </c>
      <c r="G6" s="54">
        <f>Table4[[#This Row],[Column6]]*(1+0.03)</f>
        <v>1.7783039198000004</v>
      </c>
      <c r="H6" s="54">
        <f>Table4[[#This Row],[Column7]]*(1+0.03)</f>
        <v>1.8316530373940003</v>
      </c>
      <c r="I6" s="54">
        <f>Table4[[#This Row],[Column8]]*(1+0.03)</f>
        <v>1.8866026285158204</v>
      </c>
      <c r="J6" s="54">
        <f>Table4[[#This Row],[Column9]]*(1+0.03)</f>
        <v>1.9432007073712951</v>
      </c>
    </row>
    <row r="7" spans="1:11" x14ac:dyDescent="0.3">
      <c r="A7" t="s">
        <v>84</v>
      </c>
      <c r="B7" s="51"/>
      <c r="C7" s="54"/>
      <c r="D7" s="54"/>
      <c r="E7" s="54"/>
      <c r="F7" s="54"/>
      <c r="G7" s="54"/>
      <c r="H7" s="54"/>
      <c r="I7" s="54"/>
      <c r="J7" s="54"/>
    </row>
    <row r="8" spans="1:11" x14ac:dyDescent="0.3">
      <c r="A8" t="s">
        <v>73</v>
      </c>
    </row>
    <row r="9" spans="1:11" x14ac:dyDescent="0.3">
      <c r="A9" t="s">
        <v>81</v>
      </c>
      <c r="B9" s="56">
        <f>B3*B4</f>
        <v>4072.35</v>
      </c>
      <c r="C9" s="56">
        <f t="shared" ref="C9:J9" si="0">C3*C4</f>
        <v>4107.26</v>
      </c>
      <c r="D9" s="56">
        <f t="shared" si="0"/>
        <v>4089.3678000000009</v>
      </c>
      <c r="E9" s="56">
        <f t="shared" si="0"/>
        <v>4066.7055340000006</v>
      </c>
      <c r="F9" s="56">
        <f t="shared" si="0"/>
        <v>4039.0031010200009</v>
      </c>
      <c r="G9" s="56">
        <f t="shared" si="0"/>
        <v>4005.9784870806011</v>
      </c>
      <c r="H9" s="56">
        <f t="shared" si="0"/>
        <v>3967.3372935139191</v>
      </c>
      <c r="I9" s="56">
        <f t="shared" si="0"/>
        <v>3922.7722476948638</v>
      </c>
      <c r="J9" s="56">
        <f t="shared" si="0"/>
        <v>3871.9626955625026</v>
      </c>
    </row>
    <row r="10" spans="1:11" x14ac:dyDescent="0.3">
      <c r="A10" t="s">
        <v>82</v>
      </c>
      <c r="B10" s="56">
        <f>B5*B6</f>
        <v>2933.42</v>
      </c>
      <c r="C10" s="56">
        <f t="shared" ref="C10:J10" si="1">C5*C6</f>
        <v>3208.98</v>
      </c>
      <c r="D10" s="56">
        <f t="shared" si="1"/>
        <v>3467.9894000000004</v>
      </c>
      <c r="E10" s="56">
        <f t="shared" si="1"/>
        <v>4074.8956820000008</v>
      </c>
      <c r="F10" s="56">
        <f t="shared" si="1"/>
        <v>4715.0951504600007</v>
      </c>
      <c r="G10" s="56">
        <f t="shared" si="1"/>
        <v>5390.0391809138009</v>
      </c>
      <c r="H10" s="56">
        <f t="shared" si="1"/>
        <v>6101.236267559415</v>
      </c>
      <c r="I10" s="56">
        <f t="shared" si="1"/>
        <v>6850.2541441409439</v>
      </c>
      <c r="J10" s="56">
        <f t="shared" si="1"/>
        <v>7638.7219806765615</v>
      </c>
    </row>
    <row r="11" spans="1:11" x14ac:dyDescent="0.3">
      <c r="A11" t="s">
        <v>85</v>
      </c>
      <c r="B11" s="53">
        <v>340.9</v>
      </c>
      <c r="C11" s="56">
        <v>229.7</v>
      </c>
      <c r="D11" s="56">
        <v>688.9</v>
      </c>
      <c r="E11" s="56">
        <f>Table5[[#This Row],[Column4]]*1.1</f>
        <v>757.79000000000008</v>
      </c>
      <c r="F11" s="56">
        <f>Table5[[#This Row],[Column5]]*1.1</f>
        <v>833.56900000000019</v>
      </c>
      <c r="G11" s="56">
        <f>Table5[[#This Row],[Column6]]*1.1</f>
        <v>916.9259000000003</v>
      </c>
      <c r="H11" s="56">
        <f>Table5[[#This Row],[Column7]]*1.1</f>
        <v>1008.6184900000004</v>
      </c>
      <c r="I11" s="56">
        <f>Table5[[#This Row],[Column8]]*1.1</f>
        <v>1109.4803390000006</v>
      </c>
      <c r="J11" s="56">
        <f>Table5[[#This Row],[Column9]]*1.1</f>
        <v>1220.4283729000008</v>
      </c>
    </row>
    <row r="12" spans="1:11" x14ac:dyDescent="0.3">
      <c r="A12" t="s">
        <v>83</v>
      </c>
      <c r="B12" s="56">
        <f>B9+B10+B11</f>
        <v>7346.67</v>
      </c>
      <c r="C12" s="56">
        <f>C9+C10+C11</f>
        <v>7545.94</v>
      </c>
      <c r="D12" s="56">
        <f t="shared" ref="C12:J12" si="2">D9+D10+D11</f>
        <v>8246.2572000000018</v>
      </c>
      <c r="E12" s="56">
        <f t="shared" si="2"/>
        <v>8899.3912160000018</v>
      </c>
      <c r="F12" s="56">
        <f t="shared" si="2"/>
        <v>9587.6672514800011</v>
      </c>
      <c r="G12" s="56">
        <f t="shared" si="2"/>
        <v>10312.943567994402</v>
      </c>
      <c r="H12" s="56">
        <f t="shared" si="2"/>
        <v>11077.192051073334</v>
      </c>
      <c r="I12" s="56">
        <f t="shared" si="2"/>
        <v>11882.506730835808</v>
      </c>
      <c r="J12" s="56">
        <f t="shared" si="2"/>
        <v>12731.113049139065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DCF Analysis</vt:lpstr>
      <vt:lpstr>Risk &amp; Credit</vt:lpstr>
      <vt:lpstr>Bottom-up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boyanov.ts.martin@gmail.com</dc:creator>
  <cp:lastModifiedBy>boyanov.ts.martin@gmail.com</cp:lastModifiedBy>
  <dcterms:created xsi:type="dcterms:W3CDTF">2026-09-21T22:16:08Z</dcterms:created>
  <dcterms:modified xsi:type="dcterms:W3CDTF">2026-09-27T14:35:10Z</dcterms:modified>
</cp:coreProperties>
</file>